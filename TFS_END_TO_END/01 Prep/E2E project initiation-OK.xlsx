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435"/>
  </bookViews>
  <sheets>
    <sheet name="模板 Template" sheetId="4" r:id="rId1"/>
    <sheet name="Sheet1" sheetId="5" r:id="rId2"/>
  </sheets>
  <definedNames>
    <definedName name="_xlnm._FilterDatabase" localSheetId="0" hidden="1">'模板 Template'!$A$1:$H$1</definedName>
    <definedName name="_xlnm.Print_Area" localSheetId="0">'模板 Template'!$A$1:$F$31</definedName>
  </definedNames>
  <calcPr calcId="152511"/>
</workbook>
</file>

<file path=xl/calcChain.xml><?xml version="1.0" encoding="utf-8"?>
<calcChain xmlns="http://schemas.openxmlformats.org/spreadsheetml/2006/main">
  <c r="J12" i="4" l="1"/>
  <c r="J11" i="4"/>
  <c r="J13" i="4" l="1"/>
  <c r="K7" i="4"/>
  <c r="J7" i="4" l="1"/>
  <c r="J8" i="4" l="1"/>
  <c r="J15" i="4" l="1"/>
  <c r="J14" i="4"/>
  <c r="K15" i="4" l="1"/>
</calcChain>
</file>

<file path=xl/sharedStrings.xml><?xml version="1.0" encoding="utf-8"?>
<sst xmlns="http://schemas.openxmlformats.org/spreadsheetml/2006/main" count="109" uniqueCount="97">
  <si>
    <t>部门主管 Dept Leader</t>
    <phoneticPr fontId="1" type="noConversion"/>
  </si>
  <si>
    <t>区域 Region</t>
    <phoneticPr fontId="1" type="noConversion"/>
  </si>
  <si>
    <t>部门 Dept</t>
    <phoneticPr fontId="1" type="noConversion"/>
  </si>
  <si>
    <t>签字确认
Sign-off</t>
    <phoneticPr fontId="1" type="noConversion"/>
  </si>
  <si>
    <t>指派的项目代表
Assigned focal</t>
    <phoneticPr fontId="1" type="noConversion"/>
  </si>
  <si>
    <t>签核确认 Sign-off</t>
    <phoneticPr fontId="1" type="noConversion"/>
  </si>
  <si>
    <t>申请人
Applicant</t>
    <phoneticPr fontId="1" type="noConversion"/>
  </si>
  <si>
    <t>项目效益
Project benefits</t>
    <phoneticPr fontId="1" type="noConversion"/>
  </si>
  <si>
    <t>总经理签核确认
Sign-off from GM</t>
    <phoneticPr fontId="1" type="noConversion"/>
  </si>
  <si>
    <t>IT签核确认
Sign-off from IT</t>
    <phoneticPr fontId="1" type="noConversion"/>
  </si>
  <si>
    <t>影响系统
Relevant systems</t>
    <phoneticPr fontId="1" type="noConversion"/>
  </si>
  <si>
    <t>IT投入人天
IT MDs</t>
    <phoneticPr fontId="1" type="noConversion"/>
  </si>
  <si>
    <t>折算金额
Amount for IT MDs</t>
    <phoneticPr fontId="1" type="noConversion"/>
  </si>
  <si>
    <t>总投入
Total input</t>
    <phoneticPr fontId="1" type="noConversion"/>
  </si>
  <si>
    <t>期望上线时间
Expected launch time</t>
    <phoneticPr fontId="1" type="noConversion"/>
  </si>
  <si>
    <t>签核意见  Sign-off comments</t>
    <phoneticPr fontId="1" type="noConversion"/>
  </si>
  <si>
    <t>签字确认
Sign-off</t>
    <phoneticPr fontId="1" type="noConversion"/>
  </si>
  <si>
    <t>签核确认及签核意见
Sign-off and  comments</t>
    <phoneticPr fontId="1" type="noConversion"/>
  </si>
  <si>
    <t>填写说明 Instructions</t>
    <phoneticPr fontId="1" type="noConversion"/>
  </si>
  <si>
    <t>项目需求
Project Req.</t>
    <phoneticPr fontId="1" type="noConversion"/>
  </si>
  <si>
    <r>
      <t xml:space="preserve">IT项目经理
</t>
    </r>
    <r>
      <rPr>
        <b/>
        <sz val="8"/>
        <color theme="1"/>
        <rFont val="微软雅黑"/>
        <family val="2"/>
        <charset val="134"/>
      </rPr>
      <t>IT PM</t>
    </r>
    <phoneticPr fontId="1" type="noConversion"/>
  </si>
  <si>
    <t>项目名称
Project name</t>
    <phoneticPr fontId="1" type="noConversion"/>
  </si>
  <si>
    <t>其他投入承担部门
Responsible dept for other input</t>
    <phoneticPr fontId="1" type="noConversion"/>
  </si>
  <si>
    <t>其他投入金额
Other input</t>
    <phoneticPr fontId="1" type="noConversion"/>
  </si>
  <si>
    <t>项目编号 Project number</t>
    <phoneticPr fontId="1" type="noConversion"/>
  </si>
  <si>
    <t>业务投入人天
Biz MDs</t>
    <phoneticPr fontId="1" type="noConversion"/>
  </si>
  <si>
    <t>IT 分析说明 IT Analysis</t>
    <phoneticPr fontId="1" type="noConversion"/>
  </si>
  <si>
    <t>签字确认
Sign-off after check</t>
    <phoneticPr fontId="1" type="noConversion"/>
  </si>
  <si>
    <t>检查确认
Data check</t>
    <phoneticPr fontId="1" type="noConversion"/>
  </si>
  <si>
    <r>
      <t xml:space="preserve">》所有栏位都只接受中文或英文或中英文双语填写；
》涉及非中文区域时，建议使用英文填写。
</t>
    </r>
    <r>
      <rPr>
        <b/>
        <sz val="9"/>
        <color rgb="FFFF0000"/>
        <rFont val="微软雅黑"/>
        <family val="2"/>
        <charset val="134"/>
      </rPr>
      <t>》《IT 分析说明 IT Analysis》之前的内容由业务主导填写；其中：项目编号 Project number, 最后一步 PMO 填写合规性时填写；</t>
    </r>
    <phoneticPr fontId="1" type="noConversion"/>
  </si>
  <si>
    <t>指派的项目代表，需全程参与项目（从立项前需求梳理到上线后问题沟通反馈）。</t>
    <phoneticPr fontId="1" type="noConversion"/>
  </si>
  <si>
    <t>Instructions-English</t>
    <phoneticPr fontId="1" type="noConversion"/>
  </si>
  <si>
    <r>
      <t xml:space="preserve">》项目类型判断：如在公司级战略项目清单（例如列在HK项目中）或部门战略清单中，选择对应的项目类型；
如不在相关清单中或无法判断是否为战略项目（例如，战略项目尚未确定），选择“其他 Others”。
</t>
    </r>
    <r>
      <rPr>
        <b/>
        <sz val="9"/>
        <color rgb="FFFF0000"/>
        <rFont val="微软雅黑"/>
        <family val="2"/>
        <charset val="134"/>
      </rPr>
      <t>》项目类型，影响项目优先级。</t>
    </r>
    <r>
      <rPr>
        <sz val="9"/>
        <color theme="1"/>
        <rFont val="微软雅黑"/>
        <family val="2"/>
        <charset val="134"/>
      </rPr>
      <t xml:space="preserve">
》如当地尚无战略项目清单，新建工厂类（独立法人）项目默认公司级战略项目。</t>
    </r>
    <phoneticPr fontId="1" type="noConversion"/>
  </si>
  <si>
    <t>不确定具体上线日期的情况下，颗粒度到月份即可；</t>
    <phoneticPr fontId="1" type="noConversion"/>
  </si>
  <si>
    <t>收入，按照3年进行估算。</t>
    <phoneticPr fontId="1" type="noConversion"/>
  </si>
  <si>
    <t>如涉及部门较多，请另外附各部门投入人数 &amp; 人天。
用户人天主要用于需求沟通、参与例会、参与培训、测试、数据整理、提供最终用户培训、参与上线切换任务等；</t>
    <phoneticPr fontId="1" type="noConversion"/>
  </si>
  <si>
    <t>IT 分析说明 IT Analysis：由IT进行填写。</t>
    <phoneticPr fontId="1" type="noConversion"/>
  </si>
  <si>
    <t>合规性检查确认：由PMO进行填写。</t>
    <phoneticPr fontId="1" type="noConversion"/>
  </si>
  <si>
    <t>合规性检查确认
Compliance Check and Confirmation</t>
    <phoneticPr fontId="1" type="noConversion"/>
  </si>
  <si>
    <t>》签字日期为立项完成日期；</t>
    <phoneticPr fontId="1" type="noConversion"/>
  </si>
  <si>
    <t>签字日期
Sign-off date</t>
    <phoneticPr fontId="1" type="noConversion"/>
  </si>
  <si>
    <t>Compliance Check and Confirmation：filled in by PMO.</t>
    <phoneticPr fontId="1" type="noConversion"/>
  </si>
  <si>
    <t>The assigned project representative (focal) need to participate in the whole process of the project (from sorting out the requirements before the project is approved to communicating and handling the problems after the launch).</t>
    <phoneticPr fontId="1" type="noConversion"/>
  </si>
  <si>
    <t>万邦 IT 项目立项申请书
APACHE IT Project Initiation Application Form</t>
    <phoneticPr fontId="1" type="noConversion"/>
  </si>
  <si>
    <r>
      <t>》All fields can only be filled in Chinese or English or "both Chinese and English";
When non-Chinese areas are involved, it is recommended to fill in English.
The content before "IT Analysis" is filled by the business PM; 
The project number will be filled in when the</t>
    </r>
    <r>
      <rPr>
        <b/>
        <sz val="9"/>
        <color rgb="FFFF0000"/>
        <rFont val="微软雅黑"/>
        <family val="2"/>
        <charset val="134"/>
      </rPr>
      <t xml:space="preserve"> PMO</t>
    </r>
    <r>
      <rPr>
        <sz val="9"/>
        <color theme="1"/>
        <rFont val="微软雅黑"/>
        <family val="2"/>
        <charset val="134"/>
      </rPr>
      <t xml:space="preserve"> fills in the compliance at the last step.</t>
    </r>
    <phoneticPr fontId="1" type="noConversion"/>
  </si>
  <si>
    <r>
      <t xml:space="preserve">》Project type judgment: select the corresponding project type if the project is in the company-level strategic project list (for example, listed in the HK project) or departmental strategy list;
If it is not in the relevant list or if it is unsure whether it is a strategic project (for example, the strategic project has not been identified), select </t>
    </r>
    <r>
      <rPr>
        <b/>
        <sz val="9"/>
        <color rgb="FFFF0000"/>
        <rFont val="微软雅黑"/>
        <family val="2"/>
        <charset val="134"/>
      </rPr>
      <t>"Others".</t>
    </r>
    <r>
      <rPr>
        <sz val="9"/>
        <color theme="1"/>
        <rFont val="微软雅黑"/>
        <family val="2"/>
        <charset val="134"/>
      </rPr>
      <t xml:space="preserve">
》Project type affects </t>
    </r>
    <r>
      <rPr>
        <b/>
        <sz val="9"/>
        <color rgb="FFFF0000"/>
        <rFont val="微软雅黑"/>
        <family val="2"/>
        <charset val="134"/>
      </rPr>
      <t>project priority</t>
    </r>
    <r>
      <rPr>
        <sz val="9"/>
        <color theme="1"/>
        <rFont val="微软雅黑"/>
        <family val="2"/>
        <charset val="134"/>
      </rPr>
      <t>.
》If there is no list of strategic projects in the local area, a new plant implementation (independent legal person) projects will be a company-level strategic project by default.</t>
    </r>
    <phoneticPr fontId="1" type="noConversion"/>
  </si>
  <si>
    <t>If not sure about the specific launch date, month is acceptable;</t>
    <phoneticPr fontId="1" type="noConversion"/>
  </si>
  <si>
    <r>
      <t xml:space="preserve">Income is estimated based on </t>
    </r>
    <r>
      <rPr>
        <b/>
        <sz val="9"/>
        <color rgb="FFFF0000"/>
        <rFont val="微软雅黑"/>
        <family val="2"/>
        <charset val="134"/>
      </rPr>
      <t>3 years.</t>
    </r>
    <phoneticPr fontId="1" type="noConversion"/>
  </si>
  <si>
    <t>Users are in charge of demand communication, regular meetings, training, testing, data collation, providing end-user training, online switching tasks, etc.</t>
    <phoneticPr fontId="1" type="noConversion"/>
  </si>
  <si>
    <t>IT Analysis: Filled in by IT.</t>
    <phoneticPr fontId="1" type="noConversion"/>
  </si>
  <si>
    <r>
      <t xml:space="preserve">投资回报率
</t>
    </r>
    <r>
      <rPr>
        <b/>
        <sz val="9"/>
        <color rgb="FFFF0000"/>
        <rFont val="微软雅黑"/>
        <family val="2"/>
        <charset val="134"/>
      </rPr>
      <t>ROI</t>
    </r>
    <phoneticPr fontId="1" type="noConversion"/>
  </si>
  <si>
    <r>
      <t xml:space="preserve">》Other investment amount: including but not limited to </t>
    </r>
    <r>
      <rPr>
        <b/>
        <sz val="9"/>
        <color rgb="FFFF0000"/>
        <rFont val="微软雅黑"/>
        <family val="2"/>
        <charset val="134"/>
      </rPr>
      <t>hardware investment, software cost, external consultant fee</t>
    </r>
    <r>
      <rPr>
        <sz val="9"/>
        <color theme="1"/>
        <rFont val="微软雅黑"/>
        <family val="2"/>
        <charset val="134"/>
      </rPr>
      <t xml:space="preserve">, </t>
    </r>
    <r>
      <rPr>
        <b/>
        <sz val="9"/>
        <color rgb="FFFF0000"/>
        <rFont val="微软雅黑"/>
        <family val="2"/>
        <charset val="134"/>
      </rPr>
      <t>promotion fee,</t>
    </r>
    <r>
      <rPr>
        <sz val="9"/>
        <color theme="1"/>
        <rFont val="微软雅黑"/>
        <family val="2"/>
        <charset val="134"/>
      </rPr>
      <t xml:space="preserve"> etc.;
If IT does not have sufficient manpower support and need </t>
    </r>
    <r>
      <rPr>
        <sz val="9"/>
        <color rgb="FFFF0000"/>
        <rFont val="微软雅黑"/>
        <family val="2"/>
        <charset val="134"/>
      </rPr>
      <t>outsourcing manpower</t>
    </r>
    <r>
      <rPr>
        <sz val="9"/>
        <color theme="1"/>
        <rFont val="微软雅黑"/>
        <family val="2"/>
        <charset val="134"/>
      </rPr>
      <t xml:space="preserve">, it belongs to </t>
    </r>
    <r>
      <rPr>
        <b/>
        <sz val="9"/>
        <color rgb="FFFF0000"/>
        <rFont val="微软雅黑"/>
        <family val="2"/>
        <charset val="134"/>
      </rPr>
      <t>"other inputs".</t>
    </r>
    <r>
      <rPr>
        <sz val="9"/>
        <color theme="1"/>
        <rFont val="微软雅黑"/>
        <family val="2"/>
        <charset val="134"/>
      </rPr>
      <t xml:space="preserve">
》Other investment undertaking departments are responsible for the corresponding budget, payment application, and tracking tasks.</t>
    </r>
    <phoneticPr fontId="1" type="noConversion"/>
  </si>
  <si>
    <r>
      <t xml:space="preserve">Return on investment = revenue / cost * 100%
In the early stage of project management, there is no requirement on ROI.
</t>
    </r>
    <r>
      <rPr>
        <b/>
        <sz val="9"/>
        <color rgb="FFFF0000"/>
        <rFont val="微软雅黑"/>
        <family val="2"/>
        <charset val="134"/>
      </rPr>
      <t>Projects with small ROI are with lower priority.</t>
    </r>
    <r>
      <rPr>
        <sz val="9"/>
        <color theme="1"/>
        <rFont val="微软雅黑"/>
        <family val="2"/>
        <charset val="134"/>
      </rPr>
      <t xml:space="preserve">
Future plan: Projects with ROI &lt;1 will not be implemented.</t>
    </r>
    <phoneticPr fontId="1" type="noConversion"/>
  </si>
  <si>
    <t>Sign-off date: project initiation application complete date.</t>
    <phoneticPr fontId="1" type="noConversion"/>
  </si>
  <si>
    <r>
      <rPr>
        <b/>
        <sz val="9"/>
        <color theme="1"/>
        <rFont val="微软雅黑"/>
        <family val="2"/>
        <charset val="134"/>
      </rPr>
      <t>Invest: project investment + 3 years of IT maintenance investment;
For cross-region project, input should include the IT input from the relevant regions.</t>
    </r>
    <r>
      <rPr>
        <sz val="9"/>
        <color theme="1"/>
        <rFont val="微软雅黑"/>
        <family val="2"/>
        <charset val="134"/>
      </rPr>
      <t xml:space="preserve">
Note: </t>
    </r>
    <r>
      <rPr>
        <b/>
        <sz val="9"/>
        <color rgb="FFFF0000"/>
        <rFont val="微软雅黑"/>
        <family val="2"/>
        <charset val="134"/>
      </rPr>
      <t>maintenance investment is only used to calculate ROI （Return on investment）, and does not affect the project's investment size.</t>
    </r>
    <r>
      <rPr>
        <sz val="9"/>
        <color theme="1"/>
        <rFont val="微软雅黑"/>
        <family val="2"/>
        <charset val="134"/>
      </rPr>
      <t xml:space="preserve">
Please include the support team, for example, basis.
For departments that offer daily operation and maintenance support, </t>
    </r>
    <r>
      <rPr>
        <b/>
        <sz val="9"/>
        <color rgb="FFFF0000"/>
        <rFont val="微软雅黑"/>
        <family val="2"/>
        <charset val="134"/>
      </rPr>
      <t>are not included.</t>
    </r>
    <r>
      <rPr>
        <sz val="9"/>
        <color theme="1"/>
        <rFont val="微软雅黑"/>
        <family val="2"/>
        <charset val="134"/>
      </rPr>
      <t xml:space="preserve"> For example, in order to carry out projects, some users need to get </t>
    </r>
    <r>
      <rPr>
        <b/>
        <sz val="9"/>
        <color rgb="FFFF0000"/>
        <rFont val="微软雅黑"/>
        <family val="2"/>
        <charset val="134"/>
      </rPr>
      <t>network permissions</t>
    </r>
    <r>
      <rPr>
        <sz val="9"/>
        <color theme="1"/>
        <rFont val="微软雅黑"/>
        <family val="2"/>
        <charset val="134"/>
      </rPr>
      <t xml:space="preserve">, which is counted as IT daily operation and maintenance work, and does not need to be counted as project investment.
Maintenance investment: for example, </t>
    </r>
    <r>
      <rPr>
        <b/>
        <sz val="9"/>
        <color rgb="FFFF0000"/>
        <rFont val="微软雅黑"/>
        <family val="2"/>
        <charset val="134"/>
      </rPr>
      <t>handling bugs, answering questions</t>
    </r>
    <r>
      <rPr>
        <sz val="9"/>
        <color theme="1"/>
        <rFont val="微软雅黑"/>
        <family val="2"/>
        <charset val="134"/>
      </rPr>
      <t xml:space="preserve">; </t>
    </r>
    <r>
      <rPr>
        <b/>
        <sz val="9"/>
        <color rgb="FFFF0000"/>
        <rFont val="微软雅黑"/>
        <family val="2"/>
        <charset val="134"/>
      </rPr>
      <t>excluding new requirements processing.</t>
    </r>
    <phoneticPr fontId="1" type="noConversion"/>
  </si>
  <si>
    <t>申请部门
Application dept</t>
    <phoneticPr fontId="1" type="noConversion"/>
  </si>
  <si>
    <t>涉及区域（可填写多项）：APE,APC,APH,HK,SG,TW</t>
    <phoneticPr fontId="1" type="noConversion"/>
  </si>
  <si>
    <t>Related Region (multiple items can be filled in)：APE,APC,APH,HK,SG,TW</t>
    <phoneticPr fontId="1" type="noConversion"/>
  </si>
  <si>
    <t>涉及区域
Related Region</t>
    <phoneticPr fontId="1" type="noConversion"/>
  </si>
  <si>
    <t>项目类型
Project Type</t>
    <phoneticPr fontId="1" type="noConversion"/>
  </si>
  <si>
    <r>
      <t>应包含项目投入+3年的IT运维投入；
跨区域项目，应包含各区域IT投入。
注意：</t>
    </r>
    <r>
      <rPr>
        <b/>
        <sz val="9"/>
        <color rgb="FFFF0000"/>
        <rFont val="微软雅黑"/>
        <family val="2"/>
        <charset val="134"/>
      </rPr>
      <t>运维投入仅用于计算ROI，不影响项目的投入大小。</t>
    </r>
    <r>
      <rPr>
        <sz val="9"/>
        <color theme="1"/>
        <rFont val="微软雅黑"/>
        <family val="2"/>
        <charset val="134"/>
      </rPr>
      <t xml:space="preserve">
不要遗漏配合单位，例如，数据部。
不含日常运维支持的部门，例如，为了做项目，需要给部分用户开网络权限，算作IT日常运维工作，无需算作项目投入。
3年的运维投入是指运维该项目（例如，处理bug、解疑答惑；不含新增运维需求处理）的IT投入。</t>
    </r>
    <phoneticPr fontId="1" type="noConversion"/>
  </si>
  <si>
    <r>
      <t xml:space="preserve">》其他投入金额：包含但不限于硬件投入、软件购买成本、外部顾问成本、推广等；
</t>
    </r>
    <r>
      <rPr>
        <b/>
        <sz val="9"/>
        <color rgb="FFFF0000"/>
        <rFont val="微软雅黑"/>
        <family val="2"/>
        <charset val="134"/>
      </rPr>
      <t>如IT无足够人力支持，需要外包人力进行开发，属于“其他投入”。</t>
    </r>
    <r>
      <rPr>
        <sz val="9"/>
        <color theme="1"/>
        <rFont val="微软雅黑"/>
        <family val="2"/>
        <charset val="134"/>
      </rPr>
      <t xml:space="preserve">
》其他投入承担部门，需负责对应的预算和付款申请、追踪事项。</t>
    </r>
    <phoneticPr fontId="1" type="noConversion"/>
  </si>
  <si>
    <r>
      <rPr>
        <b/>
        <sz val="9"/>
        <color rgb="FFFF0000"/>
        <rFont val="微软雅黑"/>
        <family val="2"/>
        <charset val="134"/>
      </rPr>
      <t xml:space="preserve">投资回报率=收入/成本*100%
</t>
    </r>
    <r>
      <rPr>
        <sz val="9"/>
        <color theme="1"/>
        <rFont val="微软雅黑"/>
        <family val="2"/>
        <charset val="134"/>
      </rPr>
      <t xml:space="preserve">项目管理方法论运行初期，不对ROI 做硬性要求，ROI小的项目，优先级较低。
</t>
    </r>
    <r>
      <rPr>
        <b/>
        <sz val="9"/>
        <color rgb="FFFF0000"/>
        <rFont val="微软雅黑"/>
        <family val="2"/>
        <charset val="134"/>
      </rPr>
      <t>未来规划：ROI ＜1 的项目，原则上不予实施。</t>
    </r>
    <phoneticPr fontId="1" type="noConversion"/>
  </si>
  <si>
    <t>APC</t>
  </si>
  <si>
    <r>
      <t xml:space="preserve">IT可行性分析
</t>
    </r>
    <r>
      <rPr>
        <b/>
        <sz val="8"/>
        <color theme="1"/>
        <rFont val="微软雅黑"/>
        <family val="2"/>
        <charset val="134"/>
      </rPr>
      <t>IT Feasibility Analysis</t>
    </r>
  </si>
  <si>
    <t>部门级战略项目 Dept level strategic project</t>
  </si>
  <si>
    <r>
      <t xml:space="preserve">业务项目经理
</t>
    </r>
    <r>
      <rPr>
        <b/>
        <sz val="8"/>
        <color theme="1"/>
        <rFont val="微软雅黑"/>
        <family val="2"/>
        <charset val="134"/>
      </rPr>
      <t>Business PM</t>
    </r>
  </si>
  <si>
    <t>NA</t>
  </si>
  <si>
    <t>IT- MES</t>
  </si>
  <si>
    <t>Syamsundar-r</t>
  </si>
  <si>
    <t>折算金额
Amount for biz MDs</t>
  </si>
  <si>
    <t>相关业务部门主管签核确认
Sign-off from relevant business dept leaders</t>
  </si>
  <si>
    <t>IT</t>
  </si>
  <si>
    <t>Chandrasekhar-V</t>
  </si>
  <si>
    <t>MES</t>
  </si>
  <si>
    <t>Manohar-G</t>
  </si>
  <si>
    <t>Manohar-G/Premika-S</t>
  </si>
  <si>
    <t>Easy Analysis And Tracking Of PO Data Through Graphical Representation.</t>
  </si>
  <si>
    <t>Business</t>
  </si>
  <si>
    <t>FG</t>
  </si>
  <si>
    <t>uday-G</t>
  </si>
  <si>
    <t>Kumar-KSS</t>
  </si>
  <si>
    <t>Uday-G</t>
  </si>
  <si>
    <t>Manohar-G,Premika-S</t>
  </si>
  <si>
    <t>Subbareddy</t>
  </si>
  <si>
    <t>Production</t>
  </si>
  <si>
    <t>Sailaja-Y</t>
  </si>
  <si>
    <t>SaiRekha</t>
  </si>
  <si>
    <t xml:space="preserve">1.Real-Time Monitoring can monitor key metrics, such as  production status, and shipment timelines and order receiving.
2. Automated alerts for delayed shipments help address issues promptly.
</t>
  </si>
  <si>
    <t>Business invest 1 people 10MDs, FG invest 1 people 10MDs                 Total-20 days</t>
  </si>
  <si>
    <t>End-to-End Decision Making System</t>
    <phoneticPr fontId="1" type="noConversion"/>
  </si>
  <si>
    <t>MES25002</t>
    <phoneticPr fontId="1" type="noConversion"/>
  </si>
  <si>
    <r>
      <t xml:space="preserve">项目投入Project input：184
</t>
    </r>
    <r>
      <rPr>
        <b/>
        <sz val="9"/>
        <color rgb="FFFF0000"/>
        <rFont val="微软雅黑"/>
        <family val="2"/>
        <charset val="134"/>
      </rPr>
      <t>运维投入Maintanence input：60</t>
    </r>
    <phoneticPr fontId="1" type="noConversion"/>
  </si>
  <si>
    <r>
      <t>BIZ:</t>
    </r>
    <r>
      <rPr>
        <b/>
        <sz val="9"/>
        <color rgb="FFFF0000"/>
        <rFont val="微软雅黑"/>
        <family val="2"/>
        <charset val="134"/>
      </rPr>
      <t>176.15</t>
    </r>
    <r>
      <rPr>
        <sz val="9"/>
        <rFont val="微软雅黑"/>
        <family val="2"/>
        <charset val="134"/>
      </rPr>
      <t xml:space="preserve"> USD</t>
    </r>
    <phoneticPr fontId="1" type="noConversion"/>
  </si>
  <si>
    <t>2,149.05 USD</t>
    <phoneticPr fontId="1" type="noConversion"/>
  </si>
  <si>
    <t>2,325.20 USD</t>
    <phoneticPr fontId="1" type="noConversion"/>
  </si>
  <si>
    <t xml:space="preserve">The End-to-End Decision Making System project offers by visualizing data across various stages, We can easily track the status of each PO from order receipt to final shipment enhances the clarity of operational insights but also enables the proactive identification and resolution of process issues.Additionally it ensures stability ,efficiency and sustainability                                                                                                                                                           
 Soft Saving :gaining 0.5 spike score                                                                                                                         
 Hard Saving : Can Saves  0.5 Hours Per Working Day For Each Person.                                                                      
 Total Mds Saved: 5850 Mds(100 Staff *0.5 HourPer Day *26 Working Days Per Month*12 Months*3 Years/8 HoursPerDay)
Hard Saving-Amount: 51,524.36 USD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</si>
</sst>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 #,##0.00_ ;_ * \-#,##0.00_ ;_ * &quot;-&quot;??_ ;_ @_ "/>
  </numFmts>
  <fonts count="13">
    <font>
      <sz val="11"/>
      <color theme="1"/>
      <name val="Calibri"/>
      <family val="2"/>
      <scheme val="minor"/>
    </font>
    <font>
      <sz val="9"/>
      <name val="Calibri"/>
      <family val="3"/>
      <charset val="134"/>
      <scheme val="minor"/>
    </font>
    <font>
      <sz val="9"/>
      <color theme="1"/>
      <name val="微软雅黑"/>
      <family val="2"/>
      <charset val="134"/>
    </font>
    <font>
      <b/>
      <sz val="9"/>
      <color theme="1"/>
      <name val="微软雅黑"/>
      <family val="2"/>
      <charset val="134"/>
    </font>
    <font>
      <b/>
      <sz val="8"/>
      <color theme="1"/>
      <name val="微软雅黑"/>
      <family val="2"/>
      <charset val="134"/>
    </font>
    <font>
      <b/>
      <sz val="9"/>
      <color rgb="FFFF0000"/>
      <name val="微软雅黑"/>
      <family val="2"/>
      <charset val="134"/>
    </font>
    <font>
      <sz val="9"/>
      <color theme="0"/>
      <name val="微软雅黑"/>
      <family val="2"/>
      <charset val="134"/>
    </font>
    <font>
      <sz val="9"/>
      <color rgb="FFFF0000"/>
      <name val="微软雅黑"/>
      <family val="2"/>
      <charset val="134"/>
    </font>
    <font>
      <sz val="11"/>
      <color theme="1"/>
      <name val="Calibri"/>
      <family val="2"/>
      <scheme val="minor"/>
    </font>
    <font>
      <sz val="9"/>
      <color rgb="FF00B050"/>
      <name val="微软雅黑"/>
      <family val="2"/>
      <charset val="134"/>
    </font>
    <font>
      <b/>
      <sz val="9"/>
      <color rgb="FF00B050"/>
      <name val="微软雅黑"/>
      <family val="2"/>
      <charset val="134"/>
    </font>
    <font>
      <sz val="9"/>
      <color rgb="FFC00000"/>
      <name val="微软雅黑"/>
      <family val="2"/>
      <charset val="134"/>
    </font>
    <font>
      <sz val="9"/>
      <name val="微软雅黑"/>
      <family val="2"/>
      <charset val="134"/>
    </font>
  </fonts>
  <fills count="5">
    <fill>
      <patternFill patternType="none"/>
    </fill>
    <fill>
      <patternFill patternType="gray125"/>
    </fill>
    <fill>
      <patternFill patternType="solid">
        <fgColor theme="9" tint="0.79998168889431442"/>
        <bgColor indexed="64"/>
      </patternFill>
    </fill>
    <fill>
      <patternFill patternType="solid">
        <fgColor theme="6" tint="-0.499984740745262"/>
        <bgColor indexed="64"/>
      </patternFill>
    </fill>
    <fill>
      <patternFill patternType="solid">
        <fgColor theme="6"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8" fillId="0" borderId="0" applyFont="0" applyFill="0" applyBorder="0" applyAlignment="0" applyProtection="0">
      <alignment vertical="center"/>
    </xf>
  </cellStyleXfs>
  <cellXfs count="68">
    <xf numFmtId="0" fontId="0" fillId="0" borderId="0" xfId="0"/>
    <xf numFmtId="0" fontId="2" fillId="0" borderId="0" xfId="0" applyFont="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horizontal="left" vertical="center" wrapText="1"/>
    </xf>
    <xf numFmtId="0" fontId="6" fillId="3" borderId="1" xfId="0" applyFont="1" applyFill="1" applyBorder="1" applyAlignment="1">
      <alignment vertical="center"/>
    </xf>
    <xf numFmtId="0" fontId="5" fillId="0" borderId="1" xfId="0" applyFont="1" applyBorder="1" applyAlignment="1">
      <alignment vertical="center" wrapText="1"/>
    </xf>
    <xf numFmtId="0" fontId="2" fillId="0" borderId="1" xfId="0" applyFont="1" applyFill="1" applyBorder="1" applyAlignment="1">
      <alignment vertical="center" wrapText="1"/>
    </xf>
    <xf numFmtId="0" fontId="3" fillId="4" borderId="1" xfId="0" applyFont="1" applyFill="1" applyBorder="1" applyAlignment="1">
      <alignment vertical="center" wrapText="1"/>
    </xf>
    <xf numFmtId="0" fontId="2" fillId="4" borderId="1" xfId="0" applyFont="1" applyFill="1" applyBorder="1" applyAlignment="1">
      <alignment horizontal="center" vertical="center"/>
    </xf>
    <xf numFmtId="0" fontId="3" fillId="0" borderId="1" xfId="0" applyFont="1" applyFill="1" applyBorder="1" applyAlignment="1">
      <alignment vertical="center" wrapText="1"/>
    </xf>
    <xf numFmtId="43" fontId="9" fillId="0" borderId="0" xfId="1" applyFont="1" applyAlignment="1">
      <alignment vertical="center"/>
    </xf>
    <xf numFmtId="0" fontId="7" fillId="0" borderId="1" xfId="0" applyFont="1" applyBorder="1" applyAlignment="1">
      <alignment vertical="center"/>
    </xf>
    <xf numFmtId="0" fontId="9" fillId="0" borderId="0" xfId="0" applyFont="1" applyAlignment="1">
      <alignment vertical="center"/>
    </xf>
    <xf numFmtId="0" fontId="11" fillId="0" borderId="2" xfId="0" applyFont="1" applyBorder="1" applyAlignment="1">
      <alignment vertical="center"/>
    </xf>
    <xf numFmtId="0" fontId="2" fillId="0" borderId="4" xfId="0" applyFont="1" applyBorder="1" applyAlignment="1">
      <alignment vertical="center"/>
    </xf>
    <xf numFmtId="0" fontId="2" fillId="0" borderId="0" xfId="0" applyFont="1" applyBorder="1" applyAlignment="1">
      <alignment vertical="center" wrapText="1"/>
    </xf>
    <xf numFmtId="0" fontId="2" fillId="0" borderId="1" xfId="0" applyFont="1" applyBorder="1" applyAlignment="1">
      <alignment horizontal="center" vertical="center"/>
    </xf>
    <xf numFmtId="0" fontId="2" fillId="0" borderId="1" xfId="0" applyFont="1" applyFill="1" applyBorder="1" applyAlignment="1">
      <alignment horizontal="center" vertical="center"/>
    </xf>
    <xf numFmtId="43" fontId="2" fillId="0" borderId="0" xfId="1" applyFont="1" applyAlignment="1">
      <alignment vertical="center"/>
    </xf>
    <xf numFmtId="9" fontId="5" fillId="4" borderId="1" xfId="0"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0" xfId="1" applyNumberFormat="1" applyFont="1" applyAlignment="1">
      <alignment vertical="center" wrapText="1"/>
    </xf>
    <xf numFmtId="43" fontId="10" fillId="0" borderId="0" xfId="0" applyNumberFormat="1" applyFont="1" applyAlignment="1">
      <alignment vertical="center" wrapText="1"/>
    </xf>
    <xf numFmtId="0" fontId="12"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0" borderId="4" xfId="0" applyFont="1" applyFill="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4" borderId="2" xfId="0" applyFont="1" applyFill="1" applyBorder="1" applyAlignment="1">
      <alignment horizontal="left" vertical="top" wrapText="1"/>
    </xf>
    <xf numFmtId="0" fontId="2" fillId="4" borderId="3" xfId="0" applyFont="1" applyFill="1" applyBorder="1" applyAlignment="1">
      <alignment horizontal="left" vertical="top" wrapText="1"/>
    </xf>
    <xf numFmtId="0" fontId="2" fillId="4" borderId="4" xfId="0" applyFont="1" applyFill="1" applyBorder="1" applyAlignment="1">
      <alignment horizontal="left" vertical="top" wrapText="1"/>
    </xf>
    <xf numFmtId="14" fontId="2" fillId="4" borderId="2" xfId="0" applyNumberFormat="1" applyFont="1" applyFill="1" applyBorder="1" applyAlignment="1">
      <alignment horizontal="left" vertical="center"/>
    </xf>
    <xf numFmtId="14" fontId="2" fillId="4" borderId="3" xfId="0" applyNumberFormat="1" applyFont="1" applyFill="1" applyBorder="1" applyAlignment="1">
      <alignment horizontal="left" vertical="center"/>
    </xf>
    <xf numFmtId="14" fontId="2" fillId="4" borderId="4" xfId="0" applyNumberFormat="1" applyFont="1" applyFill="1" applyBorder="1" applyAlignment="1">
      <alignment horizontal="left" vertical="center"/>
    </xf>
    <xf numFmtId="0" fontId="2" fillId="4" borderId="2" xfId="0" applyFont="1" applyFill="1" applyBorder="1" applyAlignment="1">
      <alignment horizontal="left" vertical="center"/>
    </xf>
    <xf numFmtId="0" fontId="2" fillId="4" borderId="3" xfId="0" applyFont="1" applyFill="1" applyBorder="1" applyAlignment="1">
      <alignment horizontal="left" vertical="center"/>
    </xf>
    <xf numFmtId="0" fontId="2" fillId="4" borderId="4" xfId="0" applyFont="1" applyFill="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3"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Fill="1" applyBorder="1" applyAlignment="1">
      <alignment horizontal="center" vertical="center" wrapText="1"/>
    </xf>
    <xf numFmtId="0" fontId="2" fillId="0" borderId="2" xfId="0" applyFont="1" applyBorder="1" applyAlignment="1">
      <alignment horizontal="left" vertical="center"/>
    </xf>
    <xf numFmtId="0" fontId="2" fillId="0" borderId="1" xfId="0" applyFont="1" applyFill="1" applyBorder="1" applyAlignment="1">
      <alignment horizontal="center" vertical="center"/>
    </xf>
    <xf numFmtId="43" fontId="2" fillId="0" borderId="2" xfId="0" applyNumberFormat="1"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3" fillId="0" borderId="4" xfId="0" applyFont="1" applyBorder="1" applyAlignment="1">
      <alignment horizontal="center" vertical="center"/>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Views>
    <sheetView tabSelected="1" zoomScaleNormal="100" zoomScaleSheetLayoutView="80" workbookViewId="0">
      <pane ySplit="1" topLeftCell="A8" activePane="bottomLeft" state="frozen"/>
      <selection pane="bottomLeft" activeCell="J11" sqref="J11"/>
    </sheetView>
  </sheetViews>
  <sheetFormatPr defaultColWidth="8.7109375" defaultRowHeight="14.25"/>
  <cols>
    <col min="1" max="1" width="19" style="1" customWidth="1"/>
    <col min="2" max="2" width="19.7109375" style="1" bestFit="1" customWidth="1"/>
    <col min="3" max="3" width="20.28515625" style="1" customWidth="1"/>
    <col min="4" max="4" width="21.42578125" style="1" customWidth="1"/>
    <col min="5" max="5" width="18.5703125" style="1" customWidth="1"/>
    <col min="6" max="6" width="25.85546875" style="1" customWidth="1"/>
    <col min="7" max="7" width="2.42578125" style="1" customWidth="1"/>
    <col min="8" max="8" width="51.85546875" style="1" hidden="1" customWidth="1"/>
    <col min="9" max="9" width="76.85546875" style="1" hidden="1" customWidth="1"/>
    <col min="10" max="10" width="101.7109375" style="1" customWidth="1"/>
    <col min="11" max="14" width="8.7109375" style="1"/>
    <col min="15" max="15" width="22.28515625" style="1" bestFit="1" customWidth="1"/>
    <col min="16" max="16" width="11.5703125" style="1" bestFit="1" customWidth="1"/>
    <col min="17" max="16384" width="8.7109375" style="1"/>
  </cols>
  <sheetData>
    <row r="1" spans="1:17" ht="34.5" customHeight="1">
      <c r="A1" s="30" t="s">
        <v>43</v>
      </c>
      <c r="B1" s="31"/>
      <c r="C1" s="31"/>
      <c r="D1" s="31"/>
      <c r="E1" s="31"/>
      <c r="F1" s="32"/>
      <c r="H1" s="7" t="s">
        <v>18</v>
      </c>
      <c r="I1" s="7" t="s">
        <v>31</v>
      </c>
    </row>
    <row r="2" spans="1:17" ht="36.950000000000003" customHeight="1">
      <c r="A2" s="4" t="s">
        <v>21</v>
      </c>
      <c r="B2" s="45" t="s">
        <v>90</v>
      </c>
      <c r="C2" s="46"/>
      <c r="D2" s="47"/>
      <c r="E2" s="10" t="s">
        <v>24</v>
      </c>
      <c r="F2" s="11" t="s">
        <v>91</v>
      </c>
      <c r="H2" s="5" t="s">
        <v>29</v>
      </c>
      <c r="I2" s="5" t="s">
        <v>44</v>
      </c>
    </row>
    <row r="3" spans="1:17" ht="40.5" customHeight="1">
      <c r="A3" s="4" t="s">
        <v>6</v>
      </c>
      <c r="B3" s="19" t="s">
        <v>83</v>
      </c>
      <c r="C3" s="4" t="s">
        <v>55</v>
      </c>
      <c r="D3" s="23" t="s">
        <v>72</v>
      </c>
      <c r="E3" s="4" t="s">
        <v>58</v>
      </c>
      <c r="F3" s="2" t="s">
        <v>63</v>
      </c>
      <c r="H3" s="5" t="s">
        <v>56</v>
      </c>
      <c r="I3" s="5" t="s">
        <v>57</v>
      </c>
    </row>
    <row r="4" spans="1:17" ht="33.6" customHeight="1">
      <c r="A4" s="12" t="s">
        <v>59</v>
      </c>
      <c r="B4" s="33" t="s">
        <v>65</v>
      </c>
      <c r="C4" s="34"/>
      <c r="D4" s="34"/>
      <c r="E4" s="34"/>
      <c r="F4" s="35"/>
      <c r="H4" s="5" t="s">
        <v>32</v>
      </c>
      <c r="I4" s="5" t="s">
        <v>45</v>
      </c>
    </row>
    <row r="5" spans="1:17" ht="46.5" customHeight="1">
      <c r="A5" s="4" t="s">
        <v>14</v>
      </c>
      <c r="B5" s="42">
        <v>45849</v>
      </c>
      <c r="C5" s="43"/>
      <c r="D5" s="43"/>
      <c r="E5" s="43"/>
      <c r="F5" s="44"/>
      <c r="H5" s="5" t="s">
        <v>33</v>
      </c>
      <c r="I5" s="2" t="s">
        <v>46</v>
      </c>
    </row>
    <row r="6" spans="1:17" ht="53.1" customHeight="1">
      <c r="A6" s="4" t="s">
        <v>19</v>
      </c>
      <c r="B6" s="36" t="s">
        <v>88</v>
      </c>
      <c r="C6" s="37"/>
      <c r="D6" s="37"/>
      <c r="E6" s="37"/>
      <c r="F6" s="38"/>
      <c r="H6" s="2"/>
      <c r="I6" s="2"/>
    </row>
    <row r="7" spans="1:17" ht="144" customHeight="1">
      <c r="A7" s="10" t="s">
        <v>7</v>
      </c>
      <c r="B7" s="39" t="s">
        <v>96</v>
      </c>
      <c r="C7" s="40"/>
      <c r="D7" s="40"/>
      <c r="E7" s="40"/>
      <c r="F7" s="41"/>
      <c r="H7" s="8" t="s">
        <v>34</v>
      </c>
      <c r="I7" s="2" t="s">
        <v>47</v>
      </c>
      <c r="J7" s="25">
        <f>((18000/26)*5850/85)</f>
        <v>47647.058823529405</v>
      </c>
      <c r="K7" s="1">
        <f>(50*26*12*3)/8</f>
        <v>5850</v>
      </c>
    </row>
    <row r="8" spans="1:17" ht="41.1" customHeight="1">
      <c r="A8" s="4" t="s">
        <v>25</v>
      </c>
      <c r="B8" s="36" t="s">
        <v>89</v>
      </c>
      <c r="C8" s="48"/>
      <c r="D8" s="49"/>
      <c r="E8" s="4" t="s">
        <v>70</v>
      </c>
      <c r="F8" s="27" t="s">
        <v>93</v>
      </c>
      <c r="H8" s="5" t="s">
        <v>35</v>
      </c>
      <c r="I8" s="5" t="s">
        <v>48</v>
      </c>
      <c r="J8" s="13">
        <f>((18000/26)*20)/85</f>
        <v>162.89592760180994</v>
      </c>
      <c r="O8" s="18"/>
    </row>
    <row r="9" spans="1:17" ht="45" customHeight="1">
      <c r="A9" s="4" t="s">
        <v>66</v>
      </c>
      <c r="B9" s="20" t="s">
        <v>80</v>
      </c>
      <c r="C9" s="4" t="s">
        <v>16</v>
      </c>
      <c r="D9" s="29"/>
      <c r="E9" s="29"/>
      <c r="F9" s="29"/>
      <c r="H9" s="5"/>
      <c r="I9" s="2"/>
    </row>
    <row r="10" spans="1:17" ht="30.6" customHeight="1">
      <c r="A10" s="57" t="s">
        <v>26</v>
      </c>
      <c r="B10" s="57"/>
      <c r="C10" s="57"/>
      <c r="D10" s="57"/>
      <c r="E10" s="57"/>
      <c r="F10" s="57"/>
      <c r="H10" s="2" t="s">
        <v>36</v>
      </c>
      <c r="I10" s="5" t="s">
        <v>49</v>
      </c>
    </row>
    <row r="11" spans="1:17" ht="41.45" customHeight="1">
      <c r="A11" s="4" t="s">
        <v>10</v>
      </c>
      <c r="B11" s="58" t="s">
        <v>74</v>
      </c>
      <c r="C11" s="48"/>
      <c r="D11" s="48"/>
      <c r="E11" s="48"/>
      <c r="F11" s="49"/>
      <c r="H11" s="2"/>
      <c r="I11" s="2"/>
      <c r="J11" s="1">
        <f>176+2149</f>
        <v>2325</v>
      </c>
    </row>
    <row r="12" spans="1:17" ht="42.6" customHeight="1">
      <c r="A12" s="4" t="s">
        <v>64</v>
      </c>
      <c r="B12" s="36" t="s">
        <v>77</v>
      </c>
      <c r="C12" s="48"/>
      <c r="D12" s="48"/>
      <c r="E12" s="48"/>
      <c r="F12" s="49"/>
      <c r="H12" s="2"/>
      <c r="I12" s="2"/>
      <c r="J12" s="1">
        <f>51524.36/2325.2*100</f>
        <v>2215.9108893858593</v>
      </c>
    </row>
    <row r="13" spans="1:17" ht="50.1" customHeight="1">
      <c r="A13" s="4" t="s">
        <v>11</v>
      </c>
      <c r="B13" s="36" t="s">
        <v>92</v>
      </c>
      <c r="C13" s="48"/>
      <c r="D13" s="49"/>
      <c r="E13" s="4" t="s">
        <v>12</v>
      </c>
      <c r="F13" s="23" t="s">
        <v>94</v>
      </c>
      <c r="H13" s="5" t="s">
        <v>60</v>
      </c>
      <c r="I13" s="5" t="s">
        <v>54</v>
      </c>
      <c r="J13" s="13">
        <f>((30000/26)*204)/85</f>
        <v>2769.2307692307691</v>
      </c>
    </row>
    <row r="14" spans="1:17" ht="36.6" customHeight="1">
      <c r="A14" s="6" t="s">
        <v>23</v>
      </c>
      <c r="B14" s="59" t="s">
        <v>67</v>
      </c>
      <c r="C14" s="59"/>
      <c r="D14" s="59"/>
      <c r="E14" s="6" t="s">
        <v>22</v>
      </c>
      <c r="F14" s="19" t="s">
        <v>67</v>
      </c>
      <c r="H14" s="9" t="s">
        <v>61</v>
      </c>
      <c r="I14" s="5" t="s">
        <v>51</v>
      </c>
      <c r="J14" s="21">
        <f>((30000/26)*60)/85</f>
        <v>814.47963800904984</v>
      </c>
      <c r="K14" s="15"/>
    </row>
    <row r="15" spans="1:17" ht="39" customHeight="1">
      <c r="A15" s="4" t="s">
        <v>13</v>
      </c>
      <c r="B15" s="60" t="s">
        <v>95</v>
      </c>
      <c r="C15" s="61"/>
      <c r="D15" s="62"/>
      <c r="E15" s="4" t="s">
        <v>50</v>
      </c>
      <c r="F15" s="22">
        <v>22.16</v>
      </c>
      <c r="H15" s="5" t="s">
        <v>62</v>
      </c>
      <c r="I15" s="5" t="s">
        <v>52</v>
      </c>
      <c r="J15" s="26">
        <f>J13+J14</f>
        <v>3583.7104072398188</v>
      </c>
      <c r="K15" s="15">
        <f>18000/26</f>
        <v>692.30769230769226</v>
      </c>
      <c r="O15" s="14"/>
      <c r="P15" s="16"/>
      <c r="Q15" s="17"/>
    </row>
    <row r="16" spans="1:17" ht="38.1" customHeight="1">
      <c r="A16" s="4" t="s">
        <v>20</v>
      </c>
      <c r="B16" s="2" t="s">
        <v>75</v>
      </c>
      <c r="C16" s="4" t="s">
        <v>3</v>
      </c>
      <c r="D16" s="29"/>
      <c r="E16" s="29"/>
      <c r="F16" s="29"/>
      <c r="H16" s="5"/>
      <c r="I16" s="2"/>
    </row>
    <row r="17" spans="1:9" ht="29.1" customHeight="1">
      <c r="A17" s="50" t="s">
        <v>71</v>
      </c>
      <c r="B17" s="50"/>
      <c r="C17" s="50"/>
      <c r="D17" s="50"/>
      <c r="E17" s="50"/>
      <c r="F17" s="50"/>
      <c r="H17" s="2"/>
      <c r="I17" s="2"/>
    </row>
    <row r="18" spans="1:9" ht="30.95" customHeight="1">
      <c r="A18" s="3" t="s">
        <v>1</v>
      </c>
      <c r="B18" s="3" t="s">
        <v>2</v>
      </c>
      <c r="C18" s="3" t="s">
        <v>0</v>
      </c>
      <c r="D18" s="4" t="s">
        <v>4</v>
      </c>
      <c r="E18" s="54" t="s">
        <v>17</v>
      </c>
      <c r="F18" s="63"/>
      <c r="H18" s="2"/>
      <c r="I18" s="2"/>
    </row>
    <row r="19" spans="1:9" ht="30.6" customHeight="1">
      <c r="A19" s="23" t="s">
        <v>63</v>
      </c>
      <c r="B19" s="19" t="s">
        <v>78</v>
      </c>
      <c r="C19" s="19" t="s">
        <v>82</v>
      </c>
      <c r="D19" s="19" t="s">
        <v>87</v>
      </c>
      <c r="E19" s="51"/>
      <c r="F19" s="53"/>
      <c r="H19" s="5"/>
      <c r="I19" s="5"/>
    </row>
    <row r="20" spans="1:9" ht="30.6" customHeight="1">
      <c r="A20" s="23" t="s">
        <v>63</v>
      </c>
      <c r="B20" s="28" t="s">
        <v>85</v>
      </c>
      <c r="C20" s="28" t="s">
        <v>86</v>
      </c>
      <c r="D20" s="28"/>
      <c r="E20" s="51"/>
      <c r="F20" s="53"/>
      <c r="H20" s="5"/>
      <c r="I20" s="5"/>
    </row>
    <row r="21" spans="1:9" ht="30.95" customHeight="1">
      <c r="A21" s="23" t="s">
        <v>63</v>
      </c>
      <c r="B21" s="24" t="s">
        <v>79</v>
      </c>
      <c r="C21" s="24" t="s">
        <v>81</v>
      </c>
      <c r="D21" s="19" t="s">
        <v>84</v>
      </c>
      <c r="E21" s="51"/>
      <c r="F21" s="53"/>
      <c r="H21" s="5" t="s">
        <v>30</v>
      </c>
      <c r="I21" s="5" t="s">
        <v>42</v>
      </c>
    </row>
    <row r="22" spans="1:9" ht="29.1" customHeight="1">
      <c r="A22" s="50" t="s">
        <v>9</v>
      </c>
      <c r="B22" s="50"/>
      <c r="C22" s="50"/>
      <c r="D22" s="50"/>
      <c r="E22" s="50"/>
      <c r="F22" s="50"/>
      <c r="H22" s="2"/>
      <c r="I22" s="2"/>
    </row>
    <row r="23" spans="1:9" ht="29.1" customHeight="1">
      <c r="A23" s="3" t="s">
        <v>1</v>
      </c>
      <c r="B23" s="3" t="s">
        <v>2</v>
      </c>
      <c r="C23" s="3" t="s">
        <v>0</v>
      </c>
      <c r="D23" s="4" t="s">
        <v>4</v>
      </c>
      <c r="E23" s="54" t="s">
        <v>17</v>
      </c>
      <c r="F23" s="63"/>
      <c r="H23" s="2"/>
      <c r="I23" s="2"/>
    </row>
    <row r="24" spans="1:9" ht="29.1" customHeight="1">
      <c r="A24" s="5" t="s">
        <v>63</v>
      </c>
      <c r="B24" s="2" t="s">
        <v>72</v>
      </c>
      <c r="C24" s="2" t="s">
        <v>73</v>
      </c>
      <c r="D24" s="5"/>
      <c r="E24" s="64"/>
      <c r="F24" s="65"/>
      <c r="H24" s="2"/>
      <c r="I24" s="2"/>
    </row>
    <row r="25" spans="1:9" ht="31.5" customHeight="1">
      <c r="A25" s="5" t="s">
        <v>63</v>
      </c>
      <c r="B25" s="2" t="s">
        <v>68</v>
      </c>
      <c r="C25" s="2" t="s">
        <v>69</v>
      </c>
      <c r="D25" s="2" t="s">
        <v>76</v>
      </c>
      <c r="E25" s="51"/>
      <c r="F25" s="53"/>
      <c r="H25" s="5"/>
      <c r="I25" s="2"/>
    </row>
    <row r="26" spans="1:9" ht="27" customHeight="1">
      <c r="A26" s="50" t="s">
        <v>8</v>
      </c>
      <c r="B26" s="50"/>
      <c r="C26" s="50"/>
      <c r="D26" s="50"/>
      <c r="E26" s="50"/>
      <c r="F26" s="50"/>
      <c r="H26" s="2"/>
      <c r="I26" s="2"/>
    </row>
    <row r="27" spans="1:9" ht="30.6" customHeight="1">
      <c r="A27" s="66" t="s">
        <v>5</v>
      </c>
      <c r="B27" s="67"/>
      <c r="C27" s="63"/>
      <c r="D27" s="54" t="s">
        <v>15</v>
      </c>
      <c r="E27" s="55"/>
      <c r="F27" s="56"/>
      <c r="H27" s="2"/>
      <c r="I27" s="2"/>
    </row>
    <row r="28" spans="1:9" ht="36.6" customHeight="1">
      <c r="A28" s="51"/>
      <c r="B28" s="52"/>
      <c r="C28" s="53"/>
      <c r="D28" s="51"/>
      <c r="E28" s="52"/>
      <c r="F28" s="53"/>
      <c r="H28" s="2"/>
      <c r="I28" s="2"/>
    </row>
    <row r="29" spans="1:9" ht="25.5" customHeight="1">
      <c r="A29" s="50" t="s">
        <v>38</v>
      </c>
      <c r="B29" s="50"/>
      <c r="C29" s="50"/>
      <c r="D29" s="50"/>
      <c r="E29" s="50"/>
      <c r="F29" s="50"/>
      <c r="H29" s="2" t="s">
        <v>37</v>
      </c>
      <c r="I29" s="2" t="s">
        <v>41</v>
      </c>
    </row>
    <row r="30" spans="1:9" ht="42.95" customHeight="1">
      <c r="A30" s="4" t="s">
        <v>28</v>
      </c>
      <c r="B30" s="5"/>
      <c r="C30" s="4" t="s">
        <v>27</v>
      </c>
      <c r="D30" s="2"/>
      <c r="E30" s="4" t="s">
        <v>40</v>
      </c>
      <c r="F30" s="2"/>
      <c r="H30" s="4" t="s">
        <v>39</v>
      </c>
      <c r="I30" s="3" t="s">
        <v>53</v>
      </c>
    </row>
  </sheetData>
  <autoFilter ref="A1:H1">
    <filterColumn colId="0" showButton="0"/>
    <filterColumn colId="1" showButton="0"/>
    <filterColumn colId="2" showButton="0"/>
    <filterColumn colId="3" showButton="0"/>
    <filterColumn colId="4" showButton="0"/>
  </autoFilter>
  <dataConsolidate/>
  <mergeCells count="30">
    <mergeCell ref="E24:F24"/>
    <mergeCell ref="E19:F19"/>
    <mergeCell ref="E25:F25"/>
    <mergeCell ref="A26:F26"/>
    <mergeCell ref="A27:C27"/>
    <mergeCell ref="E20:F20"/>
    <mergeCell ref="A29:F29"/>
    <mergeCell ref="A28:C28"/>
    <mergeCell ref="D28:F28"/>
    <mergeCell ref="D27:F27"/>
    <mergeCell ref="A10:F10"/>
    <mergeCell ref="B11:F11"/>
    <mergeCell ref="B12:F12"/>
    <mergeCell ref="B13:D13"/>
    <mergeCell ref="B14:D14"/>
    <mergeCell ref="B15:D15"/>
    <mergeCell ref="A22:F22"/>
    <mergeCell ref="E23:F23"/>
    <mergeCell ref="D16:F16"/>
    <mergeCell ref="A17:F17"/>
    <mergeCell ref="E18:F18"/>
    <mergeCell ref="E21:F21"/>
    <mergeCell ref="D9:F9"/>
    <mergeCell ref="A1:F1"/>
    <mergeCell ref="B4:F4"/>
    <mergeCell ref="B6:F6"/>
    <mergeCell ref="B7:F7"/>
    <mergeCell ref="B5:F5"/>
    <mergeCell ref="B2:D2"/>
    <mergeCell ref="B8:D8"/>
  </mergeCells>
  <phoneticPr fontId="1" type="noConversion"/>
  <dataValidations count="2">
    <dataValidation type="list" allowBlank="1" showInputMessage="1" showErrorMessage="1" sqref="B4:F4">
      <formula1>"公司级战略项目 Corporate level strategic project,部门级战略项目 Dept level strategic project,其他 Others"</formula1>
    </dataValidation>
    <dataValidation type="list" allowBlank="1" showInputMessage="1" showErrorMessage="1" sqref="A19:A21 A25">
      <formula1>"APE,APC,APH,HK,SG,TW"</formula1>
    </dataValidation>
  </dataValidations>
  <printOptions verticalCentered="1"/>
  <pageMargins left="0.7" right="0.7" top="0.75" bottom="0.75" header="0.3" footer="0.3"/>
  <pageSetup paperSize="9" scale="66" orientation="portrait" horizontalDpi="360" verticalDpi="360" r:id="rId1"/>
  <rowBreaks count="1" manualBreakCount="1">
    <brk id="25"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0:K18"/>
  <sheetViews>
    <sheetView workbookViewId="0">
      <selection activeCell="K12" sqref="K12:K18"/>
    </sheetView>
  </sheetViews>
  <sheetFormatPr defaultRowHeight="15"/>
  <cols>
    <col min="8" max="8" width="17.28515625" customWidth="1"/>
    <col min="11" max="11" width="16.28515625" customWidth="1"/>
  </cols>
  <sheetData>
    <row r="10" spans="8:11">
      <c r="H10">
        <v>1000237147</v>
      </c>
    </row>
    <row r="11" spans="8:11">
      <c r="H11">
        <v>1000245133</v>
      </c>
    </row>
    <row r="12" spans="8:11">
      <c r="K12">
        <v>1000237147</v>
      </c>
    </row>
    <row r="13" spans="8:11">
      <c r="K13">
        <v>1000245133</v>
      </c>
    </row>
    <row r="14" spans="8:11">
      <c r="K14">
        <v>1000245137</v>
      </c>
    </row>
    <row r="15" spans="8:11">
      <c r="K15">
        <v>1000245091</v>
      </c>
    </row>
    <row r="16" spans="8:11">
      <c r="K16">
        <v>1000245116</v>
      </c>
    </row>
    <row r="17" spans="11:11">
      <c r="K17">
        <v>1000256083</v>
      </c>
    </row>
    <row r="18" spans="11:11">
      <c r="K18">
        <v>1000237108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模板 Template</vt:lpstr>
      <vt:lpstr>Sheet1</vt:lpstr>
      <vt:lpstr>'模板 Template'!Print_Area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2025-09-10T11:38:50Z</dcterms:modified>
</cp:coreProperties>
</file>